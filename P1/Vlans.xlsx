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u\OneDrive\Escritorio\Estudios\Universidad\Landivar\Septimo Ciclo\Redes\Lab\P1\"/>
    </mc:Choice>
  </mc:AlternateContent>
  <xr:revisionPtr revIDLastSave="0" documentId="8_{EA86A53D-7B64-4267-9032-A642E99D424B}" xr6:coauthVersionLast="47" xr6:coauthVersionMax="47" xr10:uidLastSave="{00000000-0000-0000-0000-000000000000}"/>
  <bookViews>
    <workbookView xWindow="-108" yWindow="-108" windowWidth="23256" windowHeight="13176" xr2:uid="{9821F739-7A06-404C-BA95-12441CF11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C17" i="1"/>
  <c r="F24" i="1"/>
  <c r="C16" i="1"/>
  <c r="F23" i="1"/>
  <c r="F22" i="1"/>
  <c r="C15" i="1"/>
  <c r="F21" i="1"/>
  <c r="F20" i="1"/>
  <c r="C14" i="1"/>
  <c r="E26" i="1"/>
  <c r="E25" i="1"/>
  <c r="E24" i="1"/>
  <c r="E23" i="1"/>
  <c r="E22" i="1"/>
  <c r="E21" i="1"/>
  <c r="E20" i="1"/>
  <c r="E5" i="1"/>
  <c r="E6" i="1"/>
  <c r="E7" i="1"/>
  <c r="E8" i="1"/>
  <c r="E9" i="1"/>
  <c r="E10" i="1"/>
  <c r="E4" i="1"/>
  <c r="D5" i="1"/>
  <c r="D6" i="1"/>
  <c r="D7" i="1"/>
  <c r="D8" i="1"/>
  <c r="D9" i="1"/>
  <c r="D10" i="1"/>
  <c r="D11" i="1"/>
  <c r="D4" i="1"/>
</calcChain>
</file>

<file path=xl/sharedStrings.xml><?xml version="1.0" encoding="utf-8"?>
<sst xmlns="http://schemas.openxmlformats.org/spreadsheetml/2006/main" count="85" uniqueCount="64">
  <si>
    <t>Departamento</t>
  </si>
  <si>
    <t>Actuales</t>
  </si>
  <si>
    <t>Operaciones</t>
  </si>
  <si>
    <t>Ventas</t>
  </si>
  <si>
    <t>TI</t>
  </si>
  <si>
    <t>×1.30</t>
  </si>
  <si>
    <t>Necesarios reales</t>
  </si>
  <si>
    <t>VoIP</t>
  </si>
  <si>
    <t>RRHH</t>
  </si>
  <si>
    <t>Gerencia</t>
  </si>
  <si>
    <t>Servidores</t>
  </si>
  <si>
    <t>Gestion</t>
  </si>
  <si>
    <t>Prefijo</t>
  </si>
  <si>
    <t>Hosts útiles</t>
  </si>
  <si>
    <t>/25</t>
  </si>
  <si>
    <t>/26</t>
  </si>
  <si>
    <t>/27</t>
  </si>
  <si>
    <t>/28</t>
  </si>
  <si>
    <t>VLAN</t>
  </si>
  <si>
    <t>Hosts Actuales</t>
  </si>
  <si>
    <t>Hosts +30%</t>
  </si>
  <si>
    <t>Hosts Soportados</t>
  </si>
  <si>
    <t>Subred Asignada</t>
  </si>
  <si>
    <t>Máscara</t>
  </si>
  <si>
    <t>Gateway</t>
  </si>
  <si>
    <t>Rango Utilizable</t>
  </si>
  <si>
    <t>Broadcast</t>
  </si>
  <si>
    <t>10.0.0.0</t>
  </si>
  <si>
    <t>255.255.255.128</t>
  </si>
  <si>
    <t>10.0.0.1</t>
  </si>
  <si>
    <t>10.0.0.2 – 10.0.0.126</t>
  </si>
  <si>
    <t>10.0.0.127</t>
  </si>
  <si>
    <t>10.0.0.128</t>
  </si>
  <si>
    <t>10.0.0.129</t>
  </si>
  <si>
    <t>10.0.0.130 – 10.0.0.254</t>
  </si>
  <si>
    <t>10.0.0.255</t>
  </si>
  <si>
    <t>10.0.1.0</t>
  </si>
  <si>
    <t>255.255.255.192</t>
  </si>
  <si>
    <t>10.0.1.1</t>
  </si>
  <si>
    <t>10.0.1.2 – 10.0.1.62</t>
  </si>
  <si>
    <t>10.0.1.63</t>
  </si>
  <si>
    <t>10.0.1.64</t>
  </si>
  <si>
    <t>10.0.1.65</t>
  </si>
  <si>
    <t>10.0.1.66 – 10.0.1.126</t>
  </si>
  <si>
    <t>10.0.1.127</t>
  </si>
  <si>
    <t>10.0.1.128</t>
  </si>
  <si>
    <t>255.255.255.224</t>
  </si>
  <si>
    <t>10.0.1.129</t>
  </si>
  <si>
    <t>10.0.1.130 – 10.0.1.158</t>
  </si>
  <si>
    <t>10.0.1.159</t>
  </si>
  <si>
    <t>10.0.1.160</t>
  </si>
  <si>
    <t>255.255.255.240</t>
  </si>
  <si>
    <t>10.0.1.161</t>
  </si>
  <si>
    <t>10.0.1.162 – 10.0.1.174</t>
  </si>
  <si>
    <t>10.0.1.175</t>
  </si>
  <si>
    <t>10.0.1.176</t>
  </si>
  <si>
    <t>10.0.1.177</t>
  </si>
  <si>
    <t>10.0.1.178 – 10.0.1.190</t>
  </si>
  <si>
    <t>10.0.1.191</t>
  </si>
  <si>
    <t>Gestión</t>
  </si>
  <si>
    <t>10.0.1.192</t>
  </si>
  <si>
    <t>10.0.1.193</t>
  </si>
  <si>
    <t>10.0.1.194 – 10.0.1.206</t>
  </si>
  <si>
    <t>10.0.1.207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</si>
</sst>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4EBA-E62E-4E9A-B6D0-CBE1F6957C9B}">
  <dimension ref="B3:L27"/>
  <sheetViews>
    <sheetView tabSelected="1" topLeftCell="A4" workbookViewId="0">
      <selection activeCell="E20" sqref="E20"/>
    </sheetView>
  </sheetViews>
  <sheetFormatPr baseColWidth="10" defaultRowHeight="14.4" x14ac:dyDescent="0.3"/>
  <cols>
    <col min="2" max="2" width="12.44140625" customWidth="1"/>
    <col min="3" max="3" width="13.21875" customWidth="1"/>
    <col min="4" max="4" width="13.6640625" customWidth="1"/>
    <col min="5" max="5" width="17" customWidth="1"/>
    <col min="6" max="6" width="15.44140625" customWidth="1"/>
    <col min="7" max="7" width="15.5546875" customWidth="1"/>
    <col min="9" max="9" width="16.109375" customWidth="1"/>
    <col min="10" max="10" width="14.5546875" customWidth="1"/>
    <col min="11" max="11" width="20.88671875" customWidth="1"/>
    <col min="12" max="12" width="13" customWidth="1"/>
  </cols>
  <sheetData>
    <row r="3" spans="2:5" x14ac:dyDescent="0.3">
      <c r="B3" t="s">
        <v>0</v>
      </c>
      <c r="C3" t="s">
        <v>1</v>
      </c>
      <c r="D3" t="s">
        <v>5</v>
      </c>
      <c r="E3" t="s">
        <v>6</v>
      </c>
    </row>
    <row r="4" spans="2:5" x14ac:dyDescent="0.3">
      <c r="B4" t="s">
        <v>2</v>
      </c>
      <c r="C4">
        <v>80</v>
      </c>
      <c r="D4">
        <f>C4*1.3</f>
        <v>104</v>
      </c>
      <c r="E4" s="1">
        <f>D4</f>
        <v>104</v>
      </c>
    </row>
    <row r="5" spans="2:5" x14ac:dyDescent="0.3">
      <c r="B5" t="s">
        <v>3</v>
      </c>
      <c r="C5">
        <v>60</v>
      </c>
      <c r="D5">
        <f t="shared" ref="D5:D11" si="0">C5*1.3</f>
        <v>78</v>
      </c>
      <c r="E5" s="1">
        <f t="shared" ref="E5:E10" si="1">D5</f>
        <v>78</v>
      </c>
    </row>
    <row r="6" spans="2:5" x14ac:dyDescent="0.3">
      <c r="B6" t="s">
        <v>4</v>
      </c>
      <c r="C6">
        <v>45</v>
      </c>
      <c r="D6">
        <f t="shared" si="0"/>
        <v>58.5</v>
      </c>
      <c r="E6" s="1">
        <f t="shared" si="1"/>
        <v>58.5</v>
      </c>
    </row>
    <row r="7" spans="2:5" x14ac:dyDescent="0.3">
      <c r="B7" t="s">
        <v>7</v>
      </c>
      <c r="C7">
        <v>30</v>
      </c>
      <c r="D7">
        <f t="shared" si="0"/>
        <v>39</v>
      </c>
      <c r="E7" s="1">
        <f t="shared" si="1"/>
        <v>39</v>
      </c>
    </row>
    <row r="8" spans="2:5" x14ac:dyDescent="0.3">
      <c r="B8" t="s">
        <v>8</v>
      </c>
      <c r="C8">
        <v>22</v>
      </c>
      <c r="D8">
        <f t="shared" si="0"/>
        <v>28.6</v>
      </c>
      <c r="E8" s="1">
        <f t="shared" si="1"/>
        <v>28.6</v>
      </c>
    </row>
    <row r="9" spans="2:5" x14ac:dyDescent="0.3">
      <c r="B9" t="s">
        <v>9</v>
      </c>
      <c r="C9">
        <v>10</v>
      </c>
      <c r="D9">
        <f t="shared" si="0"/>
        <v>13</v>
      </c>
      <c r="E9" s="1">
        <f t="shared" si="1"/>
        <v>13</v>
      </c>
    </row>
    <row r="10" spans="2:5" x14ac:dyDescent="0.3">
      <c r="B10" t="s">
        <v>10</v>
      </c>
      <c r="C10">
        <v>6</v>
      </c>
      <c r="D10">
        <f t="shared" si="0"/>
        <v>7.8000000000000007</v>
      </c>
      <c r="E10" s="1">
        <f t="shared" si="1"/>
        <v>7.8000000000000007</v>
      </c>
    </row>
    <row r="11" spans="2:5" x14ac:dyDescent="0.3">
      <c r="B11" t="s">
        <v>11</v>
      </c>
      <c r="C11">
        <v>0</v>
      </c>
      <c r="D11">
        <f t="shared" si="0"/>
        <v>0</v>
      </c>
      <c r="E11" s="1">
        <v>10</v>
      </c>
    </row>
    <row r="13" spans="2:5" x14ac:dyDescent="0.3">
      <c r="B13" t="s">
        <v>12</v>
      </c>
      <c r="C13" t="s">
        <v>13</v>
      </c>
    </row>
    <row r="14" spans="2:5" x14ac:dyDescent="0.3">
      <c r="B14" t="s">
        <v>14</v>
      </c>
      <c r="C14">
        <f>(2^7)-2</f>
        <v>126</v>
      </c>
    </row>
    <row r="15" spans="2:5" x14ac:dyDescent="0.3">
      <c r="B15" t="s">
        <v>15</v>
      </c>
      <c r="C15">
        <f>(2^6)-2</f>
        <v>62</v>
      </c>
    </row>
    <row r="16" spans="2:5" x14ac:dyDescent="0.3">
      <c r="B16" t="s">
        <v>16</v>
      </c>
      <c r="C16">
        <f>(2^5)-2</f>
        <v>30</v>
      </c>
    </row>
    <row r="17" spans="2:12" x14ac:dyDescent="0.3">
      <c r="B17" t="s">
        <v>17</v>
      </c>
      <c r="C17">
        <f>(2^4)-2</f>
        <v>14</v>
      </c>
    </row>
    <row r="19" spans="2:12" x14ac:dyDescent="0.3">
      <c r="B19" s="2" t="s">
        <v>18</v>
      </c>
      <c r="C19" s="2" t="s">
        <v>0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12</v>
      </c>
      <c r="I19" s="2" t="s">
        <v>23</v>
      </c>
      <c r="J19" s="2" t="s">
        <v>24</v>
      </c>
      <c r="K19" s="2" t="s">
        <v>25</v>
      </c>
      <c r="L19" s="2" t="s">
        <v>26</v>
      </c>
    </row>
    <row r="20" spans="2:12" x14ac:dyDescent="0.3">
      <c r="B20">
        <v>10</v>
      </c>
      <c r="C20" t="s">
        <v>2</v>
      </c>
      <c r="D20">
        <v>80</v>
      </c>
      <c r="E20" s="1">
        <f>D20*1.3</f>
        <v>104</v>
      </c>
      <c r="F20">
        <f>(2^7)-2</f>
        <v>126</v>
      </c>
      <c r="G20" t="s">
        <v>27</v>
      </c>
      <c r="H20" t="s">
        <v>14</v>
      </c>
      <c r="I20" t="s">
        <v>28</v>
      </c>
      <c r="J20" t="s">
        <v>29</v>
      </c>
      <c r="K20" t="s">
        <v>30</v>
      </c>
      <c r="L20" t="s">
        <v>31</v>
      </c>
    </row>
    <row r="21" spans="2:12" x14ac:dyDescent="0.3">
      <c r="B21">
        <v>20</v>
      </c>
      <c r="C21" t="s">
        <v>3</v>
      </c>
      <c r="D21">
        <v>60</v>
      </c>
      <c r="E21" s="1">
        <f t="shared" ref="E21:E26" si="2">D21*1.3</f>
        <v>78</v>
      </c>
      <c r="F21">
        <f>(2^7)-2</f>
        <v>126</v>
      </c>
      <c r="G21" t="s">
        <v>32</v>
      </c>
      <c r="H21" t="s">
        <v>14</v>
      </c>
      <c r="I21" t="s">
        <v>28</v>
      </c>
      <c r="J21" t="s">
        <v>33</v>
      </c>
      <c r="K21" t="s">
        <v>34</v>
      </c>
      <c r="L21" t="s">
        <v>35</v>
      </c>
    </row>
    <row r="22" spans="2:12" x14ac:dyDescent="0.3">
      <c r="B22">
        <v>30</v>
      </c>
      <c r="C22" t="s">
        <v>4</v>
      </c>
      <c r="D22">
        <v>45</v>
      </c>
      <c r="E22" s="1">
        <f t="shared" si="2"/>
        <v>58.5</v>
      </c>
      <c r="F22">
        <f>(2^6)-2</f>
        <v>62</v>
      </c>
      <c r="G22" t="s">
        <v>36</v>
      </c>
      <c r="H22" t="s">
        <v>15</v>
      </c>
      <c r="I22" t="s">
        <v>37</v>
      </c>
      <c r="J22" t="s">
        <v>38</v>
      </c>
      <c r="K22" t="s">
        <v>39</v>
      </c>
      <c r="L22" t="s">
        <v>40</v>
      </c>
    </row>
    <row r="23" spans="2:12" x14ac:dyDescent="0.3">
      <c r="B23">
        <v>50</v>
      </c>
      <c r="C23" t="s">
        <v>7</v>
      </c>
      <c r="D23">
        <v>30</v>
      </c>
      <c r="E23" s="1">
        <f t="shared" si="2"/>
        <v>39</v>
      </c>
      <c r="F23">
        <f>(2^6)-2</f>
        <v>62</v>
      </c>
      <c r="G23" t="s">
        <v>41</v>
      </c>
      <c r="H23" t="s">
        <v>15</v>
      </c>
      <c r="I23" t="s">
        <v>37</v>
      </c>
      <c r="J23" t="s">
        <v>42</v>
      </c>
      <c r="K23" t="s">
        <v>43</v>
      </c>
      <c r="L23" t="s">
        <v>44</v>
      </c>
    </row>
    <row r="24" spans="2:12" x14ac:dyDescent="0.3">
      <c r="B24">
        <v>40</v>
      </c>
      <c r="C24" t="s">
        <v>8</v>
      </c>
      <c r="D24">
        <v>22</v>
      </c>
      <c r="E24" s="1">
        <f t="shared" si="2"/>
        <v>28.6</v>
      </c>
      <c r="F24">
        <f>(2^5)-2</f>
        <v>30</v>
      </c>
      <c r="G24" t="s">
        <v>45</v>
      </c>
      <c r="H24" t="s">
        <v>16</v>
      </c>
      <c r="I24" t="s">
        <v>46</v>
      </c>
      <c r="J24" t="s">
        <v>47</v>
      </c>
      <c r="K24" t="s">
        <v>48</v>
      </c>
      <c r="L24" t="s">
        <v>49</v>
      </c>
    </row>
    <row r="25" spans="2:12" x14ac:dyDescent="0.3">
      <c r="B25">
        <v>60</v>
      </c>
      <c r="C25" t="s">
        <v>9</v>
      </c>
      <c r="D25">
        <v>10</v>
      </c>
      <c r="E25" s="1">
        <f t="shared" si="2"/>
        <v>13</v>
      </c>
      <c r="F25">
        <f>(2^4)-2</f>
        <v>14</v>
      </c>
      <c r="G25" t="s">
        <v>50</v>
      </c>
      <c r="H25" t="s">
        <v>17</v>
      </c>
      <c r="I25" t="s">
        <v>51</v>
      </c>
      <c r="J25" t="s">
        <v>52</v>
      </c>
      <c r="K25" t="s">
        <v>53</v>
      </c>
      <c r="L25" t="s">
        <v>54</v>
      </c>
    </row>
    <row r="26" spans="2:12" x14ac:dyDescent="0.3">
      <c r="B26">
        <v>70</v>
      </c>
      <c r="C26" t="s">
        <v>10</v>
      </c>
      <c r="D26">
        <v>6</v>
      </c>
      <c r="E26" s="1">
        <f t="shared" si="2"/>
        <v>7.8000000000000007</v>
      </c>
      <c r="F26">
        <f>(2^4)-2</f>
        <v>14</v>
      </c>
      <c r="G26" t="s">
        <v>55</v>
      </c>
      <c r="H26" t="s">
        <v>17</v>
      </c>
      <c r="I26" t="s">
        <v>51</v>
      </c>
      <c r="J26" t="s">
        <v>56</v>
      </c>
      <c r="K26" t="s">
        <v>57</v>
      </c>
      <c r="L26" t="s">
        <v>58</v>
      </c>
    </row>
    <row r="27" spans="2:12" x14ac:dyDescent="0.3">
      <c r="B27">
        <v>99</v>
      </c>
      <c r="C27" t="s">
        <v>59</v>
      </c>
      <c r="D27">
        <v>0</v>
      </c>
      <c r="E27" s="1">
        <v>10</v>
      </c>
      <c r="F27">
        <f>(2^4)-2</f>
        <v>14</v>
      </c>
      <c r="G27" t="s">
        <v>60</v>
      </c>
      <c r="H27" t="s">
        <v>17</v>
      </c>
      <c r="I27" t="s">
        <v>51</v>
      </c>
      <c r="J27" t="s">
        <v>61</v>
      </c>
      <c r="K27" t="s">
        <v>62</v>
      </c>
      <c r="L2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JOSE RUIZ JUAREZ</dc:creator>
  <cp:lastModifiedBy>RODRIGO JOSE RUIZ JUAREZ</cp:lastModifiedBy>
  <dcterms:created xsi:type="dcterms:W3CDTF">2026-02-28T05:33:36Z</dcterms:created>
  <dcterms:modified xsi:type="dcterms:W3CDTF">2026-02-28T15:19:35Z</dcterms:modified>
</cp:coreProperties>
</file>