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u\OneDrive\Escritorio\Estudios\Universidad\Landivar\Septimo Ciclo\Redes\Lab\Lab_6\"/>
    </mc:Choice>
  </mc:AlternateContent>
  <xr:revisionPtr revIDLastSave="0" documentId="8_{8C03FA53-7DAA-407B-B489-74AD29BB23AF}" xr6:coauthVersionLast="47" xr6:coauthVersionMax="47" xr10:uidLastSave="{00000000-0000-0000-0000-000000000000}"/>
  <bookViews>
    <workbookView xWindow="-108" yWindow="-108" windowWidth="23256" windowHeight="13176" xr2:uid="{FC307A6B-2B7D-4E92-92B4-CA85A9C460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</calcChain>
</file>

<file path=xl/sharedStrings.xml><?xml version="1.0" encoding="utf-8"?>
<sst xmlns="http://schemas.openxmlformats.org/spreadsheetml/2006/main" count="39" uniqueCount="37">
  <si>
    <t>Excel de requerimientos de VLSM</t>
  </si>
  <si>
    <t>Subred</t>
  </si>
  <si>
    <t>Host Requeridos</t>
  </si>
  <si>
    <t>Campus Central</t>
  </si>
  <si>
    <t>Campus Occidental</t>
  </si>
  <si>
    <t>Campus Sur</t>
  </si>
  <si>
    <t>WAN 1</t>
  </si>
  <si>
    <t>WAN 2</t>
  </si>
  <si>
    <t>Host Dispon</t>
  </si>
  <si>
    <t>Direccion de red</t>
  </si>
  <si>
    <t>Mascara CIDR</t>
  </si>
  <si>
    <t>Broadcast</t>
  </si>
  <si>
    <t>/16</t>
  </si>
  <si>
    <t>255.255.0.0</t>
  </si>
  <si>
    <t>/17</t>
  </si>
  <si>
    <t>255.255.128.0</t>
  </si>
  <si>
    <t>/18</t>
  </si>
  <si>
    <t>255.255.192.0</t>
  </si>
  <si>
    <t>/30</t>
  </si>
  <si>
    <t>255.255.255.252</t>
  </si>
  <si>
    <t>10.0.0.0</t>
  </si>
  <si>
    <t>10.0.0.1 - 10.0.255.254</t>
  </si>
  <si>
    <t>10.0.255.255</t>
  </si>
  <si>
    <t>10.1.0.0</t>
  </si>
  <si>
    <t>10.1.0.1 - 10.1.127.254</t>
  </si>
  <si>
    <t>10.1.127.255</t>
  </si>
  <si>
    <t>10.1.128.0</t>
  </si>
  <si>
    <t>10.1.128.1 - 10.1.191.254</t>
  </si>
  <si>
    <t>10.1.191.255</t>
  </si>
  <si>
    <t>10.1.192.0</t>
  </si>
  <si>
    <t>10.1.192.1 - 10.1.192.2</t>
  </si>
  <si>
    <t>10.1.192.3</t>
  </si>
  <si>
    <t>10.1.192.4</t>
  </si>
  <si>
    <t>10.1.192.5 - 10.1.192.6</t>
  </si>
  <si>
    <t>10.1.192.7</t>
  </si>
  <si>
    <t>Rango de IP usables</t>
  </si>
  <si>
    <t>Mascara (Decim)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</si>
</sst>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5FBF-50BE-4F5F-B294-96D2D5A47E84}">
  <dimension ref="B2:I9"/>
  <sheetViews>
    <sheetView tabSelected="1" workbookViewId="0">
      <selection activeCell="D2" sqref="D2"/>
    </sheetView>
  </sheetViews>
  <sheetFormatPr baseColWidth="10" defaultRowHeight="14.4" x14ac:dyDescent="0.3"/>
  <cols>
    <col min="2" max="2" width="17.33203125" customWidth="1"/>
    <col min="3" max="3" width="14.109375" customWidth="1"/>
    <col min="6" max="6" width="13" customWidth="1"/>
    <col min="7" max="7" width="17.21875" customWidth="1"/>
    <col min="8" max="8" width="23" customWidth="1"/>
    <col min="9" max="9" width="12.77734375" customWidth="1"/>
  </cols>
  <sheetData>
    <row r="2" spans="2:9" x14ac:dyDescent="0.3">
      <c r="B2" t="s">
        <v>0</v>
      </c>
    </row>
    <row r="4" spans="2:9" x14ac:dyDescent="0.3">
      <c r="B4" t="s">
        <v>1</v>
      </c>
      <c r="C4" t="s">
        <v>2</v>
      </c>
      <c r="D4" t="s">
        <v>8</v>
      </c>
      <c r="E4" t="s">
        <v>9</v>
      </c>
      <c r="F4" t="s">
        <v>10</v>
      </c>
      <c r="G4" t="s">
        <v>36</v>
      </c>
      <c r="H4" t="s">
        <v>35</v>
      </c>
      <c r="I4" t="s">
        <v>11</v>
      </c>
    </row>
    <row r="5" spans="2:9" x14ac:dyDescent="0.3">
      <c r="B5" t="s">
        <v>3</v>
      </c>
      <c r="C5">
        <v>40000</v>
      </c>
      <c r="D5">
        <f>2^16</f>
        <v>65536</v>
      </c>
      <c r="E5" t="s">
        <v>20</v>
      </c>
      <c r="F5" t="s">
        <v>12</v>
      </c>
      <c r="G5" t="s">
        <v>13</v>
      </c>
      <c r="H5" t="s">
        <v>21</v>
      </c>
      <c r="I5" t="s">
        <v>22</v>
      </c>
    </row>
    <row r="6" spans="2:9" x14ac:dyDescent="0.3">
      <c r="B6" t="s">
        <v>4</v>
      </c>
      <c r="C6">
        <v>20000</v>
      </c>
      <c r="D6">
        <f>2^15</f>
        <v>32768</v>
      </c>
      <c r="E6" t="s">
        <v>23</v>
      </c>
      <c r="F6" t="s">
        <v>14</v>
      </c>
      <c r="G6" t="s">
        <v>15</v>
      </c>
      <c r="H6" t="s">
        <v>24</v>
      </c>
      <c r="I6" t="s">
        <v>25</v>
      </c>
    </row>
    <row r="7" spans="2:9" x14ac:dyDescent="0.3">
      <c r="B7" t="s">
        <v>5</v>
      </c>
      <c r="C7">
        <v>10000</v>
      </c>
      <c r="D7">
        <f>2^14</f>
        <v>16384</v>
      </c>
      <c r="E7" t="s">
        <v>26</v>
      </c>
      <c r="F7" t="s">
        <v>16</v>
      </c>
      <c r="G7" t="s">
        <v>17</v>
      </c>
      <c r="H7" t="s">
        <v>27</v>
      </c>
      <c r="I7" t="s">
        <v>28</v>
      </c>
    </row>
    <row r="8" spans="2:9" x14ac:dyDescent="0.3">
      <c r="B8" t="s">
        <v>6</v>
      </c>
      <c r="C8">
        <v>2</v>
      </c>
      <c r="D8">
        <f>2^1</f>
        <v>2</v>
      </c>
      <c r="E8" t="s">
        <v>29</v>
      </c>
      <c r="F8" t="s">
        <v>18</v>
      </c>
      <c r="G8" t="s">
        <v>19</v>
      </c>
      <c r="H8" t="s">
        <v>30</v>
      </c>
      <c r="I8" t="s">
        <v>31</v>
      </c>
    </row>
    <row r="9" spans="2:9" x14ac:dyDescent="0.3">
      <c r="B9" t="s">
        <v>7</v>
      </c>
      <c r="C9">
        <v>2</v>
      </c>
      <c r="D9">
        <f>2^1</f>
        <v>2</v>
      </c>
      <c r="E9" t="s">
        <v>32</v>
      </c>
      <c r="F9" t="s">
        <v>18</v>
      </c>
      <c r="G9" t="s">
        <v>19</v>
      </c>
      <c r="H9" t="s">
        <v>33</v>
      </c>
      <c r="I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JOSE RUIZ JUAREZ</dc:creator>
  <cp:lastModifiedBy>RODRIGO JOSE RUIZ JUAREZ</cp:lastModifiedBy>
  <dcterms:created xsi:type="dcterms:W3CDTF">2026-02-21T21:09:11Z</dcterms:created>
  <dcterms:modified xsi:type="dcterms:W3CDTF">2026-02-21T22:55:05Z</dcterms:modified>
</cp:coreProperties>
</file>